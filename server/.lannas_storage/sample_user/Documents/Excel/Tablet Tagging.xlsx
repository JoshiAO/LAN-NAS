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c2a04ed4230ba/Kimberlin Enterprises/Others/"/>
    </mc:Choice>
  </mc:AlternateContent>
  <xr:revisionPtr revIDLastSave="22" documentId="8_{9BA27FCA-7146-43ED-BA3E-F5AD66DA83F0}" xr6:coauthVersionLast="47" xr6:coauthVersionMax="47" xr10:uidLastSave="{2F53CBA4-3740-4520-8727-E401B253F1E1}"/>
  <bookViews>
    <workbookView xWindow="-120" yWindow="-120" windowWidth="24240" windowHeight="13290" activeTab="1" xr2:uid="{100B03FF-8751-4F51-9A70-ED393043C2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24" i="2"/>
  <c r="I21" i="2"/>
  <c r="I18" i="2"/>
  <c r="I15" i="2"/>
  <c r="I12" i="2"/>
  <c r="I9" i="2"/>
  <c r="I6" i="2"/>
  <c r="I3" i="2"/>
  <c r="F27" i="2"/>
  <c r="F24" i="2"/>
  <c r="F21" i="2"/>
  <c r="F18" i="2"/>
  <c r="F15" i="2"/>
  <c r="F12" i="2"/>
  <c r="F9" i="2"/>
  <c r="F6" i="2"/>
  <c r="F3" i="2"/>
  <c r="C27" i="2"/>
  <c r="C24" i="2"/>
  <c r="C21" i="2"/>
  <c r="C18" i="2"/>
  <c r="C15" i="2"/>
  <c r="C12" i="2"/>
  <c r="C9" i="2"/>
  <c r="C6" i="2"/>
  <c r="C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<sst xmlns="http://schemas.openxmlformats.org/spreadsheetml/2006/main" count="139" uniqueCount="64">
  <si>
    <t>KNE0027</t>
  </si>
  <si>
    <t>ALJON GARCIA</t>
  </si>
  <si>
    <t>KNE0031</t>
  </si>
  <si>
    <t>AMIL ORARA</t>
  </si>
  <si>
    <t>KNE0032</t>
  </si>
  <si>
    <t>VACANT</t>
  </si>
  <si>
    <t>KNE0019</t>
  </si>
  <si>
    <t>DENIS SIMEON</t>
  </si>
  <si>
    <t>KNE0024</t>
  </si>
  <si>
    <t>JOEL BALMEO REYES</t>
  </si>
  <si>
    <t>KNE0017</t>
  </si>
  <si>
    <t>ROLANDO ADELANTE JR.</t>
  </si>
  <si>
    <t>KNE0020</t>
  </si>
  <si>
    <t>KERSWIN TABLANG</t>
  </si>
  <si>
    <t>KNE0025</t>
  </si>
  <si>
    <t>LESTER SURIGAO</t>
  </si>
  <si>
    <t>KNE0026</t>
  </si>
  <si>
    <t>RICKY FERNANDEZ</t>
  </si>
  <si>
    <t>KNE0030</t>
  </si>
  <si>
    <t>ADONIS BATTUNG</t>
  </si>
  <si>
    <t>KNE0033</t>
  </si>
  <si>
    <t>KNE0015</t>
  </si>
  <si>
    <t>RAYMOND ALMORIN</t>
  </si>
  <si>
    <t>KNE0018</t>
  </si>
  <si>
    <t>SHEM VILLANUEVA</t>
  </si>
  <si>
    <t>KNE0016</t>
  </si>
  <si>
    <t>CHRISMAR ANTONIO</t>
  </si>
  <si>
    <t>KNE0028</t>
  </si>
  <si>
    <t>JHOMAR SORIANO</t>
  </si>
  <si>
    <t>KNE0029</t>
  </si>
  <si>
    <t>JOMAR CASTELO</t>
  </si>
  <si>
    <t>KNE0034</t>
  </si>
  <si>
    <t>DONNIE GARCIA</t>
  </si>
  <si>
    <t>KNE0014</t>
  </si>
  <si>
    <t>KIM ZYMON GONZALES</t>
  </si>
  <si>
    <t>KNE0003</t>
  </si>
  <si>
    <t>MICHAEL CRUZ</t>
  </si>
  <si>
    <t>KNE0005</t>
  </si>
  <si>
    <t>MELVIN JOHN MENDEZ</t>
  </si>
  <si>
    <t>KNE0006</t>
  </si>
  <si>
    <t>BERNARDO DELA CRUZ</t>
  </si>
  <si>
    <t>KNE0007</t>
  </si>
  <si>
    <t>JOHNY CRISTOBAL</t>
  </si>
  <si>
    <t>KNE0008</t>
  </si>
  <si>
    <t>JONATHAN ALBERTO</t>
  </si>
  <si>
    <t>KNE0009</t>
  </si>
  <si>
    <t>DELFIN DE BELEN</t>
  </si>
  <si>
    <t>KNE0010</t>
  </si>
  <si>
    <t>FLORESTY CASIMIRO</t>
  </si>
  <si>
    <t>KNE0012</t>
  </si>
  <si>
    <t>JEFFERSON VILLAMAR</t>
  </si>
  <si>
    <t>KNE0013</t>
  </si>
  <si>
    <t>MELMAR CABALLERO</t>
  </si>
  <si>
    <t>KNE0004</t>
  </si>
  <si>
    <t>Old Code</t>
  </si>
  <si>
    <t>New Code</t>
  </si>
  <si>
    <t>Tablet Sim Number</t>
  </si>
  <si>
    <t>Partial DSP Name</t>
  </si>
  <si>
    <t>KCM</t>
  </si>
  <si>
    <t>DSPLN</t>
  </si>
  <si>
    <t>SEC</t>
  </si>
  <si>
    <t>TER</t>
  </si>
  <si>
    <t>TER (OPM)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</si>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</sst>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6\3\ ####&quot;-&quot;###&quot;-&quot;####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57308</xdr:colOff>
      <xdr:row>28</xdr:row>
      <xdr:rowOff>57152</xdr:rowOff>
    </xdr:from>
    <xdr:to>
      <xdr:col>5</xdr:col>
      <xdr:colOff>257178</xdr:colOff>
      <xdr:row>35</xdr:row>
      <xdr:rowOff>16558</xdr:rowOff>
    </xdr:to>
    <xdr:pic>
      <xdr:nvPicPr>
        <xdr:cNvPr id="2" name="Picture 1" descr="A table with numbers and letters&#10;&#10;Description automatically generated">
          <a:extLst>
            <a:ext uri="{FF2B5EF4-FFF2-40B4-BE49-F238E27FC236}">
              <a16:creationId xmlns:a16="http://schemas.microsoft.com/office/drawing/2014/main" id="{8B070571-546D-F9E8-A467-C2A0E573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977640" y="6756820"/>
          <a:ext cx="1731056" cy="32859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56F0-2B62-4F71-B505-291BB3E31AFB}">
  <dimension ref="A1:E28"/>
  <sheetViews>
    <sheetView topLeftCell="A19" zoomScale="160" zoomScaleNormal="160" workbookViewId="0">
      <selection activeCell="C27" sqref="C27"/>
    </sheetView>
  </sheetViews>
  <sheetFormatPr defaultRowHeight="15" x14ac:dyDescent="0.25"/>
  <cols>
    <col min="3" max="3" width="18" bestFit="1" customWidth="1"/>
    <col min="4" max="4" width="22.28515625" bestFit="1" customWidth="1"/>
  </cols>
  <sheetData>
    <row r="1" spans="1:5" x14ac:dyDescent="0.25">
      <c r="A1" t="s">
        <v>59</v>
      </c>
      <c r="B1" t="s">
        <v>55</v>
      </c>
      <c r="C1" t="s">
        <v>56</v>
      </c>
      <c r="D1" t="s">
        <v>57</v>
      </c>
      <c r="E1" t="s">
        <v>54</v>
      </c>
    </row>
    <row r="2" spans="1:5" x14ac:dyDescent="0.25">
      <c r="A2" t="s">
        <v>58</v>
      </c>
      <c r="B2" t="s">
        <v>35</v>
      </c>
      <c r="C2" s="1">
        <v>9625323384</v>
      </c>
      <c r="D2" t="s">
        <v>36</v>
      </c>
      <c r="E2" t="s">
        <v>35</v>
      </c>
    </row>
    <row r="3" spans="1:5" x14ac:dyDescent="0.25">
      <c r="A3" t="s">
        <v>60</v>
      </c>
      <c r="B3" t="s">
        <v>37</v>
      </c>
      <c r="C3" s="2">
        <v>9624206352</v>
      </c>
      <c r="D3" t="s">
        <v>38</v>
      </c>
      <c r="E3" t="s">
        <v>41</v>
      </c>
    </row>
    <row r="4" spans="1:5" x14ac:dyDescent="0.25">
      <c r="A4" t="s">
        <v>60</v>
      </c>
      <c r="B4" t="s">
        <v>39</v>
      </c>
      <c r="C4" s="1">
        <v>9625410860</v>
      </c>
      <c r="D4" t="s">
        <v>42</v>
      </c>
      <c r="E4" t="s">
        <v>51</v>
      </c>
    </row>
    <row r="5" spans="1:5" x14ac:dyDescent="0.25">
      <c r="A5" t="s">
        <v>61</v>
      </c>
      <c r="B5" t="s">
        <v>41</v>
      </c>
      <c r="C5" s="1">
        <v>9082174652</v>
      </c>
      <c r="D5" t="s">
        <v>40</v>
      </c>
      <c r="E5" t="s">
        <v>43</v>
      </c>
    </row>
    <row r="6" spans="1:5" x14ac:dyDescent="0.25">
      <c r="A6" t="s">
        <v>61</v>
      </c>
      <c r="B6" t="s">
        <v>43</v>
      </c>
      <c r="C6" s="1">
        <v>9625344207</v>
      </c>
      <c r="D6" t="s">
        <v>44</v>
      </c>
      <c r="E6" t="s">
        <v>39</v>
      </c>
    </row>
    <row r="7" spans="1:5" x14ac:dyDescent="0.25">
      <c r="A7" t="s">
        <v>61</v>
      </c>
      <c r="B7" t="s">
        <v>45</v>
      </c>
      <c r="C7" s="2">
        <v>9608338041</v>
      </c>
      <c r="D7" t="s">
        <v>46</v>
      </c>
      <c r="E7" t="s">
        <v>6</v>
      </c>
    </row>
    <row r="8" spans="1:5" x14ac:dyDescent="0.25">
      <c r="A8" t="s">
        <v>61</v>
      </c>
      <c r="B8" t="s">
        <v>47</v>
      </c>
      <c r="C8" s="1">
        <v>9624685429</v>
      </c>
      <c r="D8" t="s">
        <v>48</v>
      </c>
      <c r="E8" t="s">
        <v>49</v>
      </c>
    </row>
    <row r="9" spans="1:5" x14ac:dyDescent="0.25">
      <c r="A9" t="s">
        <v>61</v>
      </c>
      <c r="B9" t="s">
        <v>49</v>
      </c>
      <c r="C9" s="2">
        <v>9624206342</v>
      </c>
      <c r="D9" t="s">
        <v>50</v>
      </c>
      <c r="E9" t="s">
        <v>23</v>
      </c>
    </row>
    <row r="10" spans="1:5" x14ac:dyDescent="0.25">
      <c r="A10" t="s">
        <v>61</v>
      </c>
      <c r="B10" t="s">
        <v>51</v>
      </c>
      <c r="C10" s="1">
        <v>9624206346</v>
      </c>
      <c r="D10" t="s">
        <v>52</v>
      </c>
      <c r="E10" t="s">
        <v>37</v>
      </c>
    </row>
    <row r="11" spans="1:5" x14ac:dyDescent="0.25">
      <c r="A11" t="s">
        <v>62</v>
      </c>
      <c r="B11" t="s">
        <v>33</v>
      </c>
      <c r="C11" s="1">
        <v>9625344211</v>
      </c>
      <c r="D11" t="s">
        <v>34</v>
      </c>
      <c r="E11" t="s">
        <v>12</v>
      </c>
    </row>
    <row r="12" spans="1:5" x14ac:dyDescent="0.25">
      <c r="A12" t="s">
        <v>63</v>
      </c>
      <c r="B12" t="s">
        <v>21</v>
      </c>
      <c r="C12" s="2">
        <v>9624206351</v>
      </c>
      <c r="D12" t="s">
        <v>22</v>
      </c>
      <c r="E12" t="s">
        <v>33</v>
      </c>
    </row>
    <row r="13" spans="1:5" x14ac:dyDescent="0.25">
      <c r="A13" t="s">
        <v>63</v>
      </c>
      <c r="B13" t="s">
        <v>25</v>
      </c>
      <c r="C13" s="1">
        <v>9624815309</v>
      </c>
      <c r="D13" t="s">
        <v>26</v>
      </c>
      <c r="E13" t="s">
        <v>21</v>
      </c>
    </row>
    <row r="14" spans="1:5" x14ac:dyDescent="0.25">
      <c r="A14" t="s">
        <v>63</v>
      </c>
      <c r="B14" t="s">
        <v>10</v>
      </c>
      <c r="C14" s="1">
        <v>9624206350</v>
      </c>
      <c r="D14" t="s">
        <v>11</v>
      </c>
      <c r="E14" t="s">
        <v>10</v>
      </c>
    </row>
    <row r="15" spans="1:5" x14ac:dyDescent="0.25">
      <c r="A15" t="s">
        <v>63</v>
      </c>
      <c r="B15" t="s">
        <v>23</v>
      </c>
      <c r="C15" s="1">
        <v>9624337746</v>
      </c>
      <c r="D15" t="s">
        <v>24</v>
      </c>
      <c r="E15" t="s">
        <v>25</v>
      </c>
    </row>
    <row r="16" spans="1:5" x14ac:dyDescent="0.25">
      <c r="A16" t="s">
        <v>63</v>
      </c>
      <c r="B16" t="s">
        <v>6</v>
      </c>
      <c r="C16" s="1">
        <v>9624279788</v>
      </c>
      <c r="D16" t="s">
        <v>7</v>
      </c>
      <c r="E16" t="s">
        <v>8</v>
      </c>
    </row>
    <row r="17" spans="1:5" x14ac:dyDescent="0.25">
      <c r="A17" t="s">
        <v>63</v>
      </c>
      <c r="B17" t="s">
        <v>12</v>
      </c>
      <c r="C17" s="1">
        <v>9626408536</v>
      </c>
      <c r="D17" t="s">
        <v>13</v>
      </c>
      <c r="E17" t="s">
        <v>14</v>
      </c>
    </row>
    <row r="18" spans="1:5" x14ac:dyDescent="0.25">
      <c r="A18" t="s">
        <v>63</v>
      </c>
      <c r="B18" t="s">
        <v>8</v>
      </c>
      <c r="C18" s="1">
        <v>9624337751</v>
      </c>
      <c r="D18" t="s">
        <v>9</v>
      </c>
      <c r="E18" t="s">
        <v>16</v>
      </c>
    </row>
    <row r="19" spans="1:5" x14ac:dyDescent="0.25">
      <c r="A19" t="s">
        <v>63</v>
      </c>
      <c r="B19" t="s">
        <v>14</v>
      </c>
      <c r="C19" s="1">
        <v>9624206349</v>
      </c>
      <c r="D19" t="s">
        <v>15</v>
      </c>
      <c r="E19" t="s">
        <v>0</v>
      </c>
    </row>
    <row r="20" spans="1:5" x14ac:dyDescent="0.25">
      <c r="A20" t="s">
        <v>63</v>
      </c>
      <c r="B20" t="s">
        <v>16</v>
      </c>
      <c r="C20" s="1">
        <v>9624206348</v>
      </c>
      <c r="D20" t="s">
        <v>17</v>
      </c>
      <c r="E20" t="s">
        <v>27</v>
      </c>
    </row>
    <row r="21" spans="1:5" x14ac:dyDescent="0.25">
      <c r="A21" t="s">
        <v>63</v>
      </c>
      <c r="B21" t="s">
        <v>0</v>
      </c>
      <c r="C21" s="1">
        <v>9627483141</v>
      </c>
      <c r="D21" t="s">
        <v>1</v>
      </c>
      <c r="E21" t="s">
        <v>29</v>
      </c>
    </row>
    <row r="22" spans="1:5" x14ac:dyDescent="0.25">
      <c r="A22" t="s">
        <v>63</v>
      </c>
      <c r="B22" t="s">
        <v>27</v>
      </c>
      <c r="C22" s="1">
        <v>9624815303</v>
      </c>
      <c r="D22" t="s">
        <v>28</v>
      </c>
      <c r="E22" t="s">
        <v>18</v>
      </c>
    </row>
    <row r="23" spans="1:5" x14ac:dyDescent="0.25">
      <c r="A23" t="s">
        <v>63</v>
      </c>
      <c r="B23" t="s">
        <v>29</v>
      </c>
      <c r="C23" s="1">
        <v>9624206344</v>
      </c>
      <c r="D23" t="s">
        <v>30</v>
      </c>
      <c r="E23" t="s">
        <v>2</v>
      </c>
    </row>
    <row r="24" spans="1:5" x14ac:dyDescent="0.25">
      <c r="A24" t="s">
        <v>63</v>
      </c>
      <c r="B24" t="s">
        <v>18</v>
      </c>
      <c r="C24" s="1">
        <v>9624864306</v>
      </c>
      <c r="D24" t="s">
        <v>19</v>
      </c>
      <c r="E24" t="s">
        <v>4</v>
      </c>
    </row>
    <row r="25" spans="1:5" x14ac:dyDescent="0.25">
      <c r="A25" t="s">
        <v>63</v>
      </c>
      <c r="B25" t="s">
        <v>2</v>
      </c>
      <c r="C25" s="2">
        <v>9625344204</v>
      </c>
      <c r="D25" t="s">
        <v>3</v>
      </c>
      <c r="E25" t="s">
        <v>47</v>
      </c>
    </row>
    <row r="26" spans="1:5" x14ac:dyDescent="0.25">
      <c r="A26" t="s">
        <v>63</v>
      </c>
      <c r="B26" t="s">
        <v>4</v>
      </c>
      <c r="C26" s="2">
        <v>9625344214</v>
      </c>
      <c r="D26" t="s">
        <v>5</v>
      </c>
      <c r="E26" t="s">
        <v>53</v>
      </c>
    </row>
    <row r="27" spans="1:5" x14ac:dyDescent="0.25">
      <c r="A27" t="s">
        <v>63</v>
      </c>
      <c r="B27" t="s">
        <v>20</v>
      </c>
      <c r="C27" s="2">
        <v>9626408538</v>
      </c>
      <c r="D27" t="s">
        <v>5</v>
      </c>
    </row>
    <row r="28" spans="1:5" x14ac:dyDescent="0.25">
      <c r="A28" t="s">
        <v>63</v>
      </c>
      <c r="B28" t="s">
        <v>31</v>
      </c>
      <c r="C28" s="1">
        <v>9082473499</v>
      </c>
      <c r="D28" t="s">
        <v>32</v>
      </c>
      <c r="E28" t="s">
        <v>45</v>
      </c>
    </row>
  </sheetData>
  <sortState xmlns:xlrd2="http://schemas.microsoft.com/office/spreadsheetml/2017/richdata2" ref="B12:D28">
    <sortCondition ref="B12:B2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3633-6C97-4FB2-87F1-8BC88A000F1C}">
  <dimension ref="B1:I37"/>
  <sheetViews>
    <sheetView tabSelected="1" workbookViewId="0">
      <selection activeCell="M24" sqref="M24"/>
    </sheetView>
  </sheetViews>
  <sheetFormatPr defaultRowHeight="15" x14ac:dyDescent="0.25"/>
  <cols>
    <col min="1" max="1" width="2.140625" customWidth="1"/>
    <col min="2" max="2" width="12.85546875" customWidth="1"/>
    <col min="3" max="3" width="18.42578125" customWidth="1"/>
    <col min="4" max="4" width="2.140625" customWidth="1"/>
    <col min="5" max="5" width="12.85546875" customWidth="1"/>
    <col min="6" max="6" width="18.42578125" customWidth="1"/>
    <col min="7" max="7" width="2.140625" customWidth="1"/>
    <col min="8" max="8" width="12.85546875" customWidth="1"/>
    <col min="9" max="9" width="18.42578125" customWidth="1"/>
    <col min="10" max="10" width="2.140625" customWidth="1"/>
  </cols>
  <sheetData>
    <row r="1" spans="2:9" ht="15.75" thickBot="1" x14ac:dyDescent="0.3"/>
    <row r="2" spans="2:9" ht="28.5" customHeight="1" thickTop="1" thickBot="1" x14ac:dyDescent="0.3">
      <c r="B2" s="5" t="e" vm="1">
        <v>#VALUE!</v>
      </c>
      <c r="C2" s="3" t="s">
        <v>35</v>
      </c>
      <c r="E2" s="5" t="e" vm="1">
        <v>#VALUE!</v>
      </c>
      <c r="F2" s="3" t="s">
        <v>37</v>
      </c>
      <c r="H2" s="5" t="e" vm="1">
        <v>#VALUE!</v>
      </c>
      <c r="I2" s="3" t="s">
        <v>39</v>
      </c>
    </row>
    <row r="3" spans="2:9" ht="18.75" customHeight="1" thickTop="1" thickBot="1" x14ac:dyDescent="0.3">
      <c r="B3" s="5"/>
      <c r="C3" s="4">
        <f>VLOOKUP(C2,Sheet1!B:C,2,FALSE)</f>
        <v>9625323384</v>
      </c>
      <c r="E3" s="5"/>
      <c r="F3" s="4">
        <f>VLOOKUP(F2,Sheet1!B:C,2,FALSE)</f>
        <v>9624206352</v>
      </c>
      <c r="H3" s="5"/>
      <c r="I3" s="4">
        <f>VLOOKUP(I2,Sheet1!B:C,2,FALSE)</f>
        <v>9625410860</v>
      </c>
    </row>
    <row r="4" spans="2:9" ht="16.5" thickTop="1" thickBot="1" x14ac:dyDescent="0.3"/>
    <row r="5" spans="2:9" ht="28.5" customHeight="1" thickTop="1" thickBot="1" x14ac:dyDescent="0.3">
      <c r="B5" s="5" t="e" vm="1">
        <v>#VALUE!</v>
      </c>
      <c r="C5" s="3" t="s">
        <v>41</v>
      </c>
      <c r="E5" s="5" t="e" vm="1">
        <v>#VALUE!</v>
      </c>
      <c r="F5" s="3" t="s">
        <v>43</v>
      </c>
      <c r="H5" s="5" t="e" vm="1">
        <v>#VALUE!</v>
      </c>
      <c r="I5" s="3" t="s">
        <v>45</v>
      </c>
    </row>
    <row r="6" spans="2:9" ht="18.75" customHeight="1" thickTop="1" thickBot="1" x14ac:dyDescent="0.3">
      <c r="B6" s="5"/>
      <c r="C6" s="4">
        <f>VLOOKUP(C5,Sheet1!B:C,2,FALSE)</f>
        <v>9082174652</v>
      </c>
      <c r="E6" s="5"/>
      <c r="F6" s="4">
        <f>VLOOKUP(F5,Sheet1!B:C,2,FALSE)</f>
        <v>9625344207</v>
      </c>
      <c r="H6" s="5"/>
      <c r="I6" s="4">
        <f>VLOOKUP(I5,Sheet1!B:C,2,FALSE)</f>
        <v>9608338041</v>
      </c>
    </row>
    <row r="7" spans="2:9" ht="16.5" thickTop="1" thickBot="1" x14ac:dyDescent="0.3"/>
    <row r="8" spans="2:9" ht="28.5" customHeight="1" thickTop="1" thickBot="1" x14ac:dyDescent="0.3">
      <c r="B8" s="5" t="e" vm="1">
        <v>#VALUE!</v>
      </c>
      <c r="C8" s="3" t="s">
        <v>47</v>
      </c>
      <c r="E8" s="5" t="e" vm="1">
        <v>#VALUE!</v>
      </c>
      <c r="F8" s="3" t="s">
        <v>49</v>
      </c>
      <c r="H8" s="5" t="e" vm="1">
        <v>#VALUE!</v>
      </c>
      <c r="I8" s="3" t="s">
        <v>51</v>
      </c>
    </row>
    <row r="9" spans="2:9" ht="18.75" customHeight="1" thickTop="1" thickBot="1" x14ac:dyDescent="0.3">
      <c r="B9" s="5"/>
      <c r="C9" s="4">
        <f>VLOOKUP(C8,Sheet1!B:C,2,FALSE)</f>
        <v>9624685429</v>
      </c>
      <c r="E9" s="5"/>
      <c r="F9" s="4">
        <f>VLOOKUP(F8,Sheet1!B:C,2,FALSE)</f>
        <v>9624206342</v>
      </c>
      <c r="H9" s="5"/>
      <c r="I9" s="4">
        <f>VLOOKUP(I8,Sheet1!B:C,2,FALSE)</f>
        <v>9624206346</v>
      </c>
    </row>
    <row r="10" spans="2:9" ht="16.5" thickTop="1" thickBot="1" x14ac:dyDescent="0.3"/>
    <row r="11" spans="2:9" ht="28.5" customHeight="1" thickTop="1" thickBot="1" x14ac:dyDescent="0.3">
      <c r="B11" s="5" t="e" vm="1">
        <v>#VALUE!</v>
      </c>
      <c r="C11" s="3" t="s">
        <v>33</v>
      </c>
      <c r="E11" s="5" t="e" vm="1">
        <v>#VALUE!</v>
      </c>
      <c r="F11" s="3" t="s">
        <v>21</v>
      </c>
      <c r="H11" s="5" t="e" vm="1">
        <v>#VALUE!</v>
      </c>
      <c r="I11" s="3" t="s">
        <v>25</v>
      </c>
    </row>
    <row r="12" spans="2:9" ht="18.75" customHeight="1" thickTop="1" thickBot="1" x14ac:dyDescent="0.3">
      <c r="B12" s="5"/>
      <c r="C12" s="4">
        <f>VLOOKUP(C11,Sheet1!B:C,2,FALSE)</f>
        <v>9625344211</v>
      </c>
      <c r="E12" s="5"/>
      <c r="F12" s="4">
        <f>VLOOKUP(F11,Sheet1!B:C,2,FALSE)</f>
        <v>9624206351</v>
      </c>
      <c r="H12" s="5"/>
      <c r="I12" s="4">
        <f>VLOOKUP(I11,Sheet1!B:C,2,FALSE)</f>
        <v>9624815309</v>
      </c>
    </row>
    <row r="13" spans="2:9" ht="16.5" thickTop="1" thickBot="1" x14ac:dyDescent="0.3"/>
    <row r="14" spans="2:9" ht="28.5" customHeight="1" thickTop="1" thickBot="1" x14ac:dyDescent="0.3">
      <c r="B14" s="5" t="e" vm="1">
        <v>#VALUE!</v>
      </c>
      <c r="C14" s="3" t="s">
        <v>10</v>
      </c>
      <c r="E14" s="5" t="e" vm="1">
        <v>#VALUE!</v>
      </c>
      <c r="F14" s="3" t="s">
        <v>23</v>
      </c>
      <c r="H14" s="5" t="e" vm="1">
        <v>#VALUE!</v>
      </c>
      <c r="I14" s="3" t="s">
        <v>6</v>
      </c>
    </row>
    <row r="15" spans="2:9" ht="18.75" customHeight="1" thickTop="1" thickBot="1" x14ac:dyDescent="0.3">
      <c r="B15" s="5"/>
      <c r="C15" s="4">
        <f>VLOOKUP(C14,Sheet1!B:C,2,FALSE)</f>
        <v>9624206350</v>
      </c>
      <c r="E15" s="5"/>
      <c r="F15" s="4">
        <f>VLOOKUP(F14,Sheet1!B:C,2,FALSE)</f>
        <v>9624337746</v>
      </c>
      <c r="H15" s="5"/>
      <c r="I15" s="4">
        <f>VLOOKUP(I14,Sheet1!B:C,2,FALSE)</f>
        <v>9624279788</v>
      </c>
    </row>
    <row r="16" spans="2:9" ht="16.5" thickTop="1" thickBot="1" x14ac:dyDescent="0.3"/>
    <row r="17" spans="2:9" ht="28.5" customHeight="1" thickTop="1" thickBot="1" x14ac:dyDescent="0.3">
      <c r="B17" s="5" t="e" vm="1">
        <v>#VALUE!</v>
      </c>
      <c r="C17" s="3" t="s">
        <v>12</v>
      </c>
      <c r="E17" s="5" t="e" vm="1">
        <v>#VALUE!</v>
      </c>
      <c r="F17" s="3" t="s">
        <v>8</v>
      </c>
      <c r="H17" s="5" t="e" vm="1">
        <v>#VALUE!</v>
      </c>
      <c r="I17" s="3" t="s">
        <v>14</v>
      </c>
    </row>
    <row r="18" spans="2:9" ht="18.75" customHeight="1" thickTop="1" thickBot="1" x14ac:dyDescent="0.3">
      <c r="B18" s="5"/>
      <c r="C18" s="4">
        <f>VLOOKUP(C17,Sheet1!B:C,2,FALSE)</f>
        <v>9626408536</v>
      </c>
      <c r="E18" s="5"/>
      <c r="F18" s="4">
        <f>VLOOKUP(F17,Sheet1!B:C,2,FALSE)</f>
        <v>9624337751</v>
      </c>
      <c r="H18" s="5"/>
      <c r="I18" s="4">
        <f>VLOOKUP(I17,Sheet1!B:C,2,FALSE)</f>
        <v>9624206349</v>
      </c>
    </row>
    <row r="19" spans="2:9" ht="16.5" thickTop="1" thickBot="1" x14ac:dyDescent="0.3"/>
    <row r="20" spans="2:9" ht="28.5" customHeight="1" thickTop="1" thickBot="1" x14ac:dyDescent="0.3">
      <c r="B20" s="5" t="e" vm="1">
        <v>#VALUE!</v>
      </c>
      <c r="C20" s="3" t="s">
        <v>16</v>
      </c>
      <c r="E20" s="5" t="e" vm="1">
        <v>#VALUE!</v>
      </c>
      <c r="F20" s="3" t="s">
        <v>0</v>
      </c>
      <c r="H20" s="5" t="e" vm="1">
        <v>#VALUE!</v>
      </c>
      <c r="I20" s="3" t="s">
        <v>27</v>
      </c>
    </row>
    <row r="21" spans="2:9" ht="18.75" customHeight="1" thickTop="1" thickBot="1" x14ac:dyDescent="0.3">
      <c r="B21" s="5"/>
      <c r="C21" s="4">
        <f>VLOOKUP(C20,Sheet1!B:C,2,FALSE)</f>
        <v>9624206348</v>
      </c>
      <c r="E21" s="5"/>
      <c r="F21" s="4">
        <f>VLOOKUP(F20,Sheet1!B:C,2,FALSE)</f>
        <v>9627483141</v>
      </c>
      <c r="H21" s="5"/>
      <c r="I21" s="4">
        <f>VLOOKUP(I20,Sheet1!B:C,2,FALSE)</f>
        <v>9624815303</v>
      </c>
    </row>
    <row r="22" spans="2:9" ht="16.5" thickTop="1" thickBot="1" x14ac:dyDescent="0.3"/>
    <row r="23" spans="2:9" ht="28.5" customHeight="1" thickTop="1" thickBot="1" x14ac:dyDescent="0.3">
      <c r="B23" s="5" t="e" vm="1">
        <v>#VALUE!</v>
      </c>
      <c r="C23" s="3" t="s">
        <v>29</v>
      </c>
      <c r="E23" s="5" t="e" vm="1">
        <v>#VALUE!</v>
      </c>
      <c r="F23" s="3" t="s">
        <v>18</v>
      </c>
      <c r="H23" s="5" t="e" vm="1">
        <v>#VALUE!</v>
      </c>
      <c r="I23" s="3" t="s">
        <v>2</v>
      </c>
    </row>
    <row r="24" spans="2:9" ht="18.75" customHeight="1" thickTop="1" thickBot="1" x14ac:dyDescent="0.3">
      <c r="B24" s="5"/>
      <c r="C24" s="4">
        <f>VLOOKUP(C23,Sheet1!B:C,2,FALSE)</f>
        <v>9624206344</v>
      </c>
      <c r="E24" s="5"/>
      <c r="F24" s="4">
        <f>VLOOKUP(F23,Sheet1!B:C,2,FALSE)</f>
        <v>9624864306</v>
      </c>
      <c r="H24" s="5"/>
      <c r="I24" s="4">
        <f>VLOOKUP(I23,Sheet1!B:C,2,FALSE)</f>
        <v>9625344204</v>
      </c>
    </row>
    <row r="25" spans="2:9" ht="16.5" thickTop="1" thickBot="1" x14ac:dyDescent="0.3"/>
    <row r="26" spans="2:9" ht="28.5" customHeight="1" thickTop="1" thickBot="1" x14ac:dyDescent="0.3">
      <c r="B26" s="5" t="e" vm="1">
        <v>#VALUE!</v>
      </c>
      <c r="C26" s="3" t="s">
        <v>4</v>
      </c>
      <c r="E26" s="5" t="e" vm="1">
        <v>#VALUE!</v>
      </c>
      <c r="F26" s="3" t="s">
        <v>20</v>
      </c>
      <c r="H26" s="5" t="e" vm="1">
        <v>#VALUE!</v>
      </c>
      <c r="I26" s="3" t="s">
        <v>31</v>
      </c>
    </row>
    <row r="27" spans="2:9" ht="18.75" customHeight="1" thickTop="1" thickBot="1" x14ac:dyDescent="0.3">
      <c r="B27" s="5"/>
      <c r="C27" s="4">
        <f>VLOOKUP(C26,Sheet1!B:C,2,FALSE)</f>
        <v>9625344214</v>
      </c>
      <c r="E27" s="5"/>
      <c r="F27" s="4">
        <f>VLOOKUP(F26,Sheet1!B:C,2,FALSE)</f>
        <v>9626408538</v>
      </c>
      <c r="H27" s="5"/>
      <c r="I27" s="4">
        <f>VLOOKUP(I26,Sheet1!B:C,2,FALSE)</f>
        <v>9082473499</v>
      </c>
    </row>
    <row r="28" spans="2:9" ht="15.75" thickTop="1" x14ac:dyDescent="0.25"/>
    <row r="29" spans="2:9" ht="28.5" customHeight="1" x14ac:dyDescent="0.25"/>
    <row r="30" spans="2:9" ht="18.75" customHeight="1" x14ac:dyDescent="0.25"/>
    <row r="32" spans="2:9" ht="28.5" customHeight="1" x14ac:dyDescent="0.25"/>
    <row r="33" ht="18.75" customHeight="1" x14ac:dyDescent="0.25"/>
    <row r="36" ht="28.5" customHeight="1" x14ac:dyDescent="0.25"/>
    <row r="37" ht="18.75" customHeight="1" x14ac:dyDescent="0.25"/>
  </sheetData>
  <mergeCells count="27">
    <mergeCell ref="H26:H27"/>
    <mergeCell ref="H20:H21"/>
    <mergeCell ref="H23:H24"/>
    <mergeCell ref="H2:H3"/>
    <mergeCell ref="H5:H6"/>
    <mergeCell ref="H8:H9"/>
    <mergeCell ref="H11:H12"/>
    <mergeCell ref="H14:H15"/>
    <mergeCell ref="H17:H18"/>
    <mergeCell ref="B2:B3"/>
    <mergeCell ref="B5:B6"/>
    <mergeCell ref="B8:B9"/>
    <mergeCell ref="B11:B12"/>
    <mergeCell ref="B14:B15"/>
    <mergeCell ref="E2:E3"/>
    <mergeCell ref="E5:E6"/>
    <mergeCell ref="E8:E9"/>
    <mergeCell ref="E11:E12"/>
    <mergeCell ref="E14:E15"/>
    <mergeCell ref="E23:E24"/>
    <mergeCell ref="E26:E27"/>
    <mergeCell ref="B17:B18"/>
    <mergeCell ref="B23:B24"/>
    <mergeCell ref="B26:B27"/>
    <mergeCell ref="B20:B21"/>
    <mergeCell ref="E20:E21"/>
    <mergeCell ref="E17:E18"/>
  </mergeCells>
  <pageMargins left="0.23" right="0.22" top="0.33" bottom="0.14000000000000001" header="0.3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AO</dc:creator>
  <cp:lastModifiedBy>Joshi AO</cp:lastModifiedBy>
  <cp:lastPrinted>2024-10-31T09:36:44Z</cp:lastPrinted>
  <dcterms:created xsi:type="dcterms:W3CDTF">2024-10-17T04:57:59Z</dcterms:created>
  <dcterms:modified xsi:type="dcterms:W3CDTF">2024-10-31T09:44:41Z</dcterms:modified>
</cp:coreProperties>
</file>